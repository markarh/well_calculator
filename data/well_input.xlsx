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km\Desktop\"/>
    </mc:Choice>
  </mc:AlternateContent>
  <xr:revisionPtr revIDLastSave="0" documentId="13_ncr:1_{B683BD6C-B278-4310-B22F-320FBBCB0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<sst xmlns="http://schemas.openxmlformats.org/spreadsheetml/2006/main" count="61" uniqueCount="47">
  <si>
    <t>pтж, кг/м3</t>
  </si>
  <si>
    <t>mг</t>
  </si>
  <si>
    <t>nг</t>
  </si>
  <si>
    <t>mв</t>
  </si>
  <si>
    <t>nв</t>
  </si>
  <si>
    <t>mp</t>
  </si>
  <si>
    <t>np</t>
  </si>
  <si>
    <t>my</t>
  </si>
  <si>
    <t>ny</t>
  </si>
  <si>
    <t>Наименование нараметра</t>
  </si>
  <si>
    <t>Единица измерения</t>
  </si>
  <si>
    <t>Pпл</t>
  </si>
  <si>
    <t>Тф</t>
  </si>
  <si>
    <t>К</t>
  </si>
  <si>
    <t xml:space="preserve"> МПа</t>
  </si>
  <si>
    <t xml:space="preserve"> К/м</t>
  </si>
  <si>
    <t>м</t>
  </si>
  <si>
    <t xml:space="preserve"> град</t>
  </si>
  <si>
    <t xml:space="preserve"> м</t>
  </si>
  <si>
    <t>м3/сут/Мпа</t>
  </si>
  <si>
    <t>G</t>
  </si>
  <si>
    <t>Hф</t>
  </si>
  <si>
    <t>Dэк</t>
  </si>
  <si>
    <t>аг</t>
  </si>
  <si>
    <t>ya</t>
  </si>
  <si>
    <t>Гн.нас</t>
  </si>
  <si>
    <t>Pнас</t>
  </si>
  <si>
    <t>Кэ</t>
  </si>
  <si>
    <t>Dнкт</t>
  </si>
  <si>
    <t>Qжсу</t>
  </si>
  <si>
    <t>Pл</t>
  </si>
  <si>
    <t>Мпа</t>
  </si>
  <si>
    <t>м3/с</t>
  </si>
  <si>
    <t xml:space="preserve"> м3/м3</t>
  </si>
  <si>
    <t>кг/м4</t>
  </si>
  <si>
    <t>м3/м3/Мпа</t>
  </si>
  <si>
    <t>кг/м3</t>
  </si>
  <si>
    <t>м3/м3</t>
  </si>
  <si>
    <t>Значения</t>
  </si>
  <si>
    <t>-</t>
  </si>
  <si>
    <t>pгсу</t>
  </si>
  <si>
    <t>pису</t>
  </si>
  <si>
    <t>pтж</t>
  </si>
  <si>
    <r>
      <t>β</t>
    </r>
    <r>
      <rPr>
        <sz val="7.7"/>
        <color theme="1"/>
        <rFont val="Calibri"/>
        <family val="2"/>
      </rPr>
      <t>всу</t>
    </r>
  </si>
  <si>
    <t>pвсу</t>
  </si>
  <si>
    <t>угол</t>
  </si>
  <si>
    <t>поправка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</si>
</sst>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7.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="70" zoomScaleNormal="70" workbookViewId="0">
      <selection activeCell="F19" sqref="F19"/>
    </sheetView>
  </sheetViews>
  <sheetFormatPr defaultRowHeight="15" x14ac:dyDescent="0.25"/>
  <cols>
    <col min="1" max="1" width="23.140625" style="1" customWidth="1"/>
    <col min="2" max="5" width="9.140625" style="1"/>
    <col min="6" max="6" width="15.42578125" style="1" customWidth="1"/>
    <col min="7" max="7" width="9.140625" style="1"/>
    <col min="8" max="8" width="15.140625" style="1" customWidth="1"/>
    <col min="9" max="10" width="9.140625" style="1"/>
    <col min="11" max="11" width="12.42578125" style="1" customWidth="1"/>
    <col min="12" max="13" width="9.140625" style="1"/>
    <col min="14" max="14" width="9.7109375" style="1" customWidth="1"/>
    <col min="15" max="15" width="14.28515625" style="1" customWidth="1"/>
    <col min="16" max="16" width="10.140625" style="1" customWidth="1"/>
    <col min="17" max="17" width="10" style="1" customWidth="1"/>
    <col min="18" max="18" width="11.5703125" style="1" customWidth="1"/>
    <col min="19" max="19" width="10.5703125" style="1" customWidth="1"/>
    <col min="20" max="20" width="11.85546875" style="1" customWidth="1"/>
    <col min="21" max="21" width="9.140625" style="1"/>
    <col min="22" max="22" width="13.5703125" style="1" customWidth="1"/>
    <col min="23" max="16384" width="9.140625" style="1"/>
  </cols>
  <sheetData>
    <row r="1" spans="1:31" ht="28.5" customHeight="1" x14ac:dyDescent="0.25">
      <c r="A1" s="2" t="s">
        <v>9</v>
      </c>
      <c r="B1" s="3" t="s">
        <v>11</v>
      </c>
      <c r="C1" s="3" t="s">
        <v>12</v>
      </c>
      <c r="D1" s="3" t="s">
        <v>20</v>
      </c>
      <c r="E1" s="3" t="s">
        <v>21</v>
      </c>
      <c r="F1" s="6" t="s">
        <v>45</v>
      </c>
      <c r="G1" s="3" t="s">
        <v>22</v>
      </c>
      <c r="H1" s="3" t="s">
        <v>13</v>
      </c>
      <c r="I1" s="7" t="s">
        <v>46</v>
      </c>
      <c r="J1" s="3" t="s">
        <v>30</v>
      </c>
      <c r="K1" s="3" t="s">
        <v>29</v>
      </c>
      <c r="L1" s="3" t="s">
        <v>28</v>
      </c>
      <c r="M1" s="3" t="s">
        <v>27</v>
      </c>
      <c r="N1" s="3" t="s">
        <v>26</v>
      </c>
      <c r="O1" s="3" t="s">
        <v>25</v>
      </c>
      <c r="P1" s="5" t="s">
        <v>40</v>
      </c>
      <c r="Q1" s="3" t="s">
        <v>24</v>
      </c>
      <c r="R1" s="3" t="s">
        <v>41</v>
      </c>
      <c r="S1" s="3" t="s">
        <v>42</v>
      </c>
      <c r="T1" s="5" t="s">
        <v>43</v>
      </c>
      <c r="U1" s="3" t="s">
        <v>44</v>
      </c>
      <c r="V1" s="3" t="s">
        <v>23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</row>
    <row r="2" spans="1:31" ht="32.25" customHeight="1" x14ac:dyDescent="0.25">
      <c r="A2" s="2" t="s">
        <v>10</v>
      </c>
      <c r="B2" s="3" t="s">
        <v>14</v>
      </c>
      <c r="C2" s="3" t="s">
        <v>13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39</v>
      </c>
      <c r="J2" s="3" t="s">
        <v>31</v>
      </c>
      <c r="K2" s="3" t="s">
        <v>32</v>
      </c>
      <c r="L2" s="3" t="s">
        <v>16</v>
      </c>
      <c r="M2" s="3" t="s">
        <v>16</v>
      </c>
      <c r="N2" s="3" t="s">
        <v>31</v>
      </c>
      <c r="O2" s="3" t="s">
        <v>33</v>
      </c>
      <c r="P2" s="3" t="s">
        <v>36</v>
      </c>
      <c r="Q2" s="3" t="s">
        <v>33</v>
      </c>
      <c r="R2" s="3" t="s">
        <v>34</v>
      </c>
      <c r="S2" s="3" t="s">
        <v>0</v>
      </c>
      <c r="T2" s="3" t="s">
        <v>37</v>
      </c>
      <c r="U2" s="3" t="s">
        <v>36</v>
      </c>
      <c r="V2" s="3" t="s">
        <v>35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39</v>
      </c>
      <c r="AB2" s="3" t="s">
        <v>39</v>
      </c>
      <c r="AC2" s="3" t="s">
        <v>39</v>
      </c>
      <c r="AD2" s="3" t="s">
        <v>39</v>
      </c>
    </row>
    <row r="3" spans="1:31" x14ac:dyDescent="0.25">
      <c r="A3" s="3" t="s">
        <v>38</v>
      </c>
      <c r="B3" s="4">
        <v>14.5</v>
      </c>
      <c r="C3" s="4">
        <v>315</v>
      </c>
      <c r="D3" s="4">
        <v>1.77E-2</v>
      </c>
      <c r="E3" s="4">
        <v>2008</v>
      </c>
      <c r="F3" s="4">
        <v>17</v>
      </c>
      <c r="G3" s="4">
        <v>0.13</v>
      </c>
      <c r="H3" s="4">
        <v>22</v>
      </c>
      <c r="I3" s="4">
        <v>0.5</v>
      </c>
      <c r="J3" s="4">
        <v>0.65</v>
      </c>
      <c r="K3" s="4">
        <v>1.273E-3</v>
      </c>
      <c r="L3" s="4">
        <v>0.05</v>
      </c>
      <c r="M3" s="4">
        <f>15*10^(-6)</f>
        <v>1.4999999999999999E-5</v>
      </c>
      <c r="N3" s="4">
        <v>9</v>
      </c>
      <c r="O3" s="4">
        <v>48.5</v>
      </c>
      <c r="P3" s="4">
        <v>1.42</v>
      </c>
      <c r="Q3" s="4">
        <v>9.1999999999999998E-2</v>
      </c>
      <c r="R3" s="4">
        <v>850</v>
      </c>
      <c r="S3" s="4">
        <v>1200</v>
      </c>
      <c r="T3" s="4">
        <v>0.35</v>
      </c>
      <c r="U3" s="4">
        <v>1150</v>
      </c>
      <c r="V3" s="4">
        <v>0.15</v>
      </c>
      <c r="W3" s="4">
        <v>17.899999999999999</v>
      </c>
      <c r="X3" s="4">
        <v>0.45400000000000001</v>
      </c>
      <c r="Y3" s="4">
        <v>1.1000000000000001</v>
      </c>
      <c r="Z3" s="4">
        <v>2.4400000000000002E-2</v>
      </c>
      <c r="AA3" s="4">
        <v>821.5</v>
      </c>
      <c r="AB3" s="4">
        <v>1.15E-2</v>
      </c>
      <c r="AC3" s="4">
        <v>5.8599999999999998E-3</v>
      </c>
      <c r="AD3" s="4">
        <v>0.27550000000000002</v>
      </c>
      <c r="AE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galashev mark</dc:creator>
  <cp:lastModifiedBy>galashev mark</cp:lastModifiedBy>
  <dcterms:created xsi:type="dcterms:W3CDTF">2015-06-05T18:19:34Z</dcterms:created>
  <dcterms:modified xsi:type="dcterms:W3CDTF">2026-02-25T21:45:51Z</dcterms:modified>
</cp:coreProperties>
</file>